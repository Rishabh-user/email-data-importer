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UPWORK 2021\Alexey Nikolayev - Purchase Orders\Construction\"/>
    </mc:Choice>
  </mc:AlternateContent>
  <xr:revisionPtr revIDLastSave="0" documentId="13_ncr:1_{DCC434B0-B6B5-4897-AF23-C76FCED5DDE6}" xr6:coauthVersionLast="47" xr6:coauthVersionMax="47" xr10:uidLastSave="{00000000-0000-0000-0000-000000000000}"/>
  <bookViews>
    <workbookView xWindow="-720" yWindow="228" windowWidth="12156" windowHeight="11700" xr2:uid="{8CFDC0AD-95D6-4B9A-849A-11D86B7B9116}"/>
  </bookViews>
  <sheets>
    <sheet name="Construction PO Template" sheetId="1" r:id="rId1"/>
    <sheet name="©" sheetId="2" r:id="rId2"/>
  </sheets>
  <externalReferences>
    <externalReference r:id="rId3"/>
  </externalReferences>
  <definedNames>
    <definedName name="Category">#REF!</definedName>
    <definedName name="Transaction">#REF!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5" i="1" l="1"/>
  <c r="R34" i="1"/>
  <c r="R33" i="1"/>
  <c r="R32" i="1"/>
  <c r="R31" i="1"/>
  <c r="R30" i="1"/>
  <c r="R29" i="1"/>
  <c r="R28" i="1"/>
  <c r="R23" i="1"/>
  <c r="R22" i="1"/>
  <c r="R21" i="1"/>
  <c r="R20" i="1"/>
  <c r="R19" i="1"/>
  <c r="R18" i="1"/>
  <c r="Q36" i="1" l="1"/>
  <c r="Q24" i="1"/>
  <c r="P39" i="1" l="1"/>
  <c r="O49" i="1" s="1"/>
</calcChain>
</file>

<file path=xl/sharedStrings.xml><?xml version="1.0" encoding="utf-8"?>
<sst xmlns="http://schemas.openxmlformats.org/spreadsheetml/2006/main" count="56" uniqueCount="48">
  <si>
    <t>Date:</t>
  </si>
  <si>
    <t>Company Name</t>
  </si>
  <si>
    <t>Street Address</t>
  </si>
  <si>
    <t>City, State ZIP</t>
  </si>
  <si>
    <t>Phone Number</t>
  </si>
  <si>
    <t>Email Address</t>
  </si>
  <si>
    <t>Item Description</t>
  </si>
  <si>
    <t>Time range
[Days]</t>
  </si>
  <si>
    <t>Price 
[per hour]</t>
  </si>
  <si>
    <t>TOTAL PRICE</t>
  </si>
  <si>
    <t>Inspect and review project documentation</t>
  </si>
  <si>
    <t>Deliver safety related documentation</t>
  </si>
  <si>
    <t>Permits: Zoning, environmental</t>
  </si>
  <si>
    <t>Equipment setup</t>
  </si>
  <si>
    <t xml:space="preserve"> Total Job Cost</t>
  </si>
  <si>
    <t>TAX</t>
  </si>
  <si>
    <t>Comments</t>
  </si>
  <si>
    <t>TOTAL</t>
  </si>
  <si>
    <t>This Purchase Order is for completing the job as described above. It is based on evaluation of the use of the physical, human, financial, and informational resources required to complete work.</t>
  </si>
  <si>
    <t>Purchase Order To:</t>
  </si>
  <si>
    <t>Ship To:</t>
  </si>
  <si>
    <t>270 Construction Road Drive      Dayton     25143     OH     PH: 555-1524-58554</t>
  </si>
  <si>
    <t>www.constructionmasters123.com</t>
  </si>
  <si>
    <t>CONSTRUCTION MASTERS</t>
  </si>
  <si>
    <t>PO #:</t>
  </si>
  <si>
    <t>PURCHASE ORDER</t>
  </si>
  <si>
    <t>SERVICES</t>
  </si>
  <si>
    <t>#</t>
  </si>
  <si>
    <t>Service Description</t>
  </si>
  <si>
    <t>Electrical works - entire building</t>
  </si>
  <si>
    <t>Lorem Ipsum</t>
  </si>
  <si>
    <t>TOTAL SERVICES:</t>
  </si>
  <si>
    <t>MATERIALS</t>
  </si>
  <si>
    <t>Qty</t>
  </si>
  <si>
    <t>Price</t>
  </si>
  <si>
    <t>TOTAL MATERIALS:</t>
  </si>
  <si>
    <t>Accepted By:</t>
  </si>
  <si>
    <t>Approved By:</t>
  </si>
  <si>
    <t>Put comments here. Lorem ipsum dolor sit amet, consectetuer adipiscing elit. Maecenas porttitor congue.</t>
  </si>
  <si>
    <t>Clay</t>
  </si>
  <si>
    <t>Wood</t>
  </si>
  <si>
    <t>Electrical cables &amp; wiring</t>
  </si>
  <si>
    <t>Ceramics</t>
  </si>
  <si>
    <t>Cement</t>
  </si>
  <si>
    <t>Windows</t>
  </si>
  <si>
    <t>Miscellaneous</t>
  </si>
  <si>
    <t>Bricks</t>
  </si>
  <si>
    <t>© TemplateLab.com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</si>
</sst>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C09]#,##0.00"/>
    <numFmt numFmtId="166" formatCode="0&quot;%&quot;"/>
  </numFmts>
  <fonts count="26" x14ac:knownFonts="1">
    <font>
      <sz val="11"/>
      <color theme="1"/>
      <name val="Calibri"/>
      <family val="2"/>
      <scheme val="minor"/>
    </font>
    <font>
      <sz val="11"/>
      <color theme="1"/>
      <name val="Lato"/>
      <family val="2"/>
    </font>
    <font>
      <sz val="11"/>
      <color theme="0"/>
      <name val="Lato"/>
      <family val="2"/>
    </font>
    <font>
      <sz val="36"/>
      <color theme="0"/>
      <name val="Lato"/>
      <family val="2"/>
    </font>
    <font>
      <b/>
      <sz val="10"/>
      <color theme="0"/>
      <name val="Lato"/>
      <family val="2"/>
    </font>
    <font>
      <sz val="10"/>
      <color theme="0"/>
      <name val="Lato"/>
      <family val="2"/>
    </font>
    <font>
      <sz val="11"/>
      <color rgb="FF64AADC"/>
      <name val="Lato"/>
      <family val="2"/>
    </font>
    <font>
      <sz val="9"/>
      <color theme="1"/>
      <name val="Lato"/>
      <family val="2"/>
    </font>
    <font>
      <b/>
      <sz val="9"/>
      <color theme="1"/>
      <name val="Lato"/>
      <family val="2"/>
    </font>
    <font>
      <b/>
      <sz val="12"/>
      <color theme="0"/>
      <name val="Lato"/>
      <family val="2"/>
    </font>
    <font>
      <b/>
      <sz val="18"/>
      <color theme="0"/>
      <name val="Lato"/>
      <family val="2"/>
    </font>
    <font>
      <sz val="14"/>
      <color theme="1" tint="0.249977111117893"/>
      <name val="Lato"/>
      <family val="2"/>
    </font>
    <font>
      <b/>
      <sz val="10"/>
      <color theme="1" tint="0.249977111117893"/>
      <name val="Lato"/>
      <family val="2"/>
    </font>
    <font>
      <sz val="9"/>
      <color theme="1" tint="0.249977111117893"/>
      <name val="Lato"/>
      <family val="2"/>
    </font>
    <font>
      <b/>
      <sz val="9"/>
      <color theme="1" tint="0.249977111117893"/>
      <name val="Lato"/>
      <family val="2"/>
    </font>
    <font>
      <sz val="11"/>
      <color theme="1" tint="0.249977111117893"/>
      <name val="Lato"/>
      <family val="2"/>
    </font>
    <font>
      <sz val="10"/>
      <color theme="1" tint="0.249977111117893"/>
      <name val="Lato"/>
      <family val="2"/>
    </font>
    <font>
      <b/>
      <sz val="16"/>
      <color theme="1" tint="0.249977111117893"/>
      <name val="Lato"/>
      <family val="2"/>
    </font>
    <font>
      <b/>
      <sz val="14"/>
      <color theme="1" tint="0.249977111117893"/>
      <name val="Lato"/>
      <family val="2"/>
    </font>
    <font>
      <b/>
      <sz val="12"/>
      <color theme="1" tint="0.249977111117893"/>
      <name val="Lato"/>
      <family val="2"/>
    </font>
    <font>
      <sz val="22"/>
      <color rgb="FFFFFF00"/>
      <name val="Lato"/>
      <family val="2"/>
    </font>
    <font>
      <sz val="9"/>
      <color rgb="FFFFFF00"/>
      <name val="Lato"/>
      <family val="2"/>
    </font>
    <font>
      <sz val="10"/>
      <color rgb="FFFFFF00"/>
      <name val="Lato"/>
      <family val="2"/>
    </font>
    <font>
      <b/>
      <sz val="20"/>
      <color theme="0"/>
      <name val="Lato"/>
      <family val="2"/>
    </font>
    <font>
      <sz val="12"/>
      <color theme="1" tint="0.249977111117893"/>
      <name val="Lato"/>
      <family val="2"/>
    </font>
    <font>
      <u/>
      <sz val="11"/>
      <color theme="1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1" tint="0.34998626667073579"/>
        <bgColor indexed="64"/>
      </patternFill>
    </fill>
  </fills>
  <borders count="2">
    <border>
      <left/>
      <right/>
      <top/>
      <bottom/>
      <diagonal/>
    </border>
    <border>
      <left/>
      <right/>
      <top/>
      <bottom style="medium">
        <color theme="1" tint="0.249977111117893"/>
      </bottom>
      <diagonal/>
    </border>
  </borders>
  <cellStyleXfs count="2">
    <xf numFmtId="0" fontId="0" fillId="0" borderId="0"/>
    <xf numFmtId="0" fontId="25" fillId="0" borderId="0" applyNumberFormat="0" applyFill="0" applyBorder="0" applyAlignment="0" applyProtection="0"/>
  </cellStyleXfs>
  <cellXfs count="81">
    <xf numFmtId="0" fontId="0" fillId="0" borderId="0" xfId="0"/>
    <xf numFmtId="0" fontId="1" fillId="0" borderId="0" xfId="0" applyFont="1"/>
    <xf numFmtId="0" fontId="1" fillId="2" borderId="0" xfId="0" applyFont="1" applyFill="1"/>
    <xf numFmtId="0" fontId="1" fillId="2" borderId="0" xfId="0" applyFont="1" applyFill="1" applyBorder="1" applyAlignment="1"/>
    <xf numFmtId="0" fontId="1" fillId="2" borderId="0" xfId="0" applyFont="1" applyFill="1" applyAlignment="1"/>
    <xf numFmtId="0" fontId="7" fillId="2" borderId="0" xfId="0" applyFont="1" applyFill="1" applyBorder="1" applyAlignment="1">
      <alignment horizontal="center" vertical="center"/>
    </xf>
    <xf numFmtId="0" fontId="7" fillId="2" borderId="0" xfId="0" applyFont="1" applyFill="1" applyBorder="1" applyAlignment="1">
      <alignment vertical="center"/>
    </xf>
    <xf numFmtId="0" fontId="1" fillId="2" borderId="0" xfId="0" applyFont="1" applyFill="1" applyAlignment="1">
      <alignment horizontal="center" vertical="center"/>
    </xf>
    <xf numFmtId="0" fontId="2" fillId="2" borderId="0" xfId="0" applyFont="1" applyFill="1" applyBorder="1" applyAlignment="1">
      <alignment vertical="center"/>
    </xf>
    <xf numFmtId="0" fontId="12" fillId="2" borderId="0" xfId="0" applyFont="1" applyFill="1" applyBorder="1" applyAlignment="1">
      <alignment horizontal="center" vertical="center"/>
    </xf>
    <xf numFmtId="0" fontId="12" fillId="2" borderId="0" xfId="0" applyFont="1" applyFill="1" applyBorder="1" applyAlignment="1">
      <alignment vertical="center"/>
    </xf>
    <xf numFmtId="0" fontId="13" fillId="2" borderId="0" xfId="0" applyFont="1" applyFill="1" applyBorder="1" applyAlignment="1">
      <alignment horizontal="center" vertical="center"/>
    </xf>
    <xf numFmtId="0" fontId="13" fillId="2" borderId="0" xfId="0" applyFont="1" applyFill="1" applyBorder="1" applyAlignment="1">
      <alignment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xf>
    <xf numFmtId="0" fontId="15" fillId="2" borderId="0" xfId="0" applyFont="1" applyFill="1" applyBorder="1" applyAlignment="1"/>
    <xf numFmtId="0" fontId="15" fillId="2" borderId="0" xfId="0" applyFont="1" applyFill="1" applyBorder="1" applyAlignment="1">
      <alignment vertical="center"/>
    </xf>
    <xf numFmtId="0" fontId="15" fillId="2" borderId="0" xfId="0" applyFont="1" applyFill="1" applyAlignment="1"/>
    <xf numFmtId="0" fontId="15" fillId="2" borderId="0" xfId="0" applyFont="1" applyFill="1" applyBorder="1"/>
    <xf numFmtId="166" fontId="18" fillId="2" borderId="0" xfId="0" applyNumberFormat="1" applyFont="1" applyFill="1" applyBorder="1" applyAlignment="1">
      <alignment horizontal="right" vertical="center"/>
    </xf>
    <xf numFmtId="0" fontId="19" fillId="2" borderId="0" xfId="0" applyFont="1" applyFill="1"/>
    <xf numFmtId="0" fontId="15" fillId="2" borderId="0" xfId="0" applyFont="1" applyFill="1" applyAlignment="1">
      <alignment horizontal="center" vertical="top" wrapText="1"/>
    </xf>
    <xf numFmtId="0" fontId="15" fillId="2" borderId="0" xfId="0" applyFont="1" applyFill="1"/>
    <xf numFmtId="0" fontId="15" fillId="2" borderId="0" xfId="0" applyFont="1" applyFill="1" applyAlignment="1">
      <alignment vertical="top"/>
    </xf>
    <xf numFmtId="0" fontId="15" fillId="2" borderId="0" xfId="0" applyFont="1" applyFill="1" applyBorder="1" applyAlignment="1">
      <alignment vertical="top"/>
    </xf>
    <xf numFmtId="0" fontId="16" fillId="2" borderId="0" xfId="0" applyFont="1" applyFill="1" applyBorder="1" applyAlignment="1">
      <alignment vertical="top" wrapText="1"/>
    </xf>
    <xf numFmtId="0" fontId="15" fillId="2" borderId="0" xfId="0" applyFont="1" applyFill="1" applyAlignment="1">
      <alignment horizontal="center"/>
    </xf>
    <xf numFmtId="0" fontId="16" fillId="2" borderId="0" xfId="0" applyFont="1" applyFill="1" applyAlignment="1">
      <alignment vertical="top" wrapText="1"/>
    </xf>
    <xf numFmtId="0" fontId="2" fillId="4" borderId="0" xfId="0" applyFont="1" applyFill="1"/>
    <xf numFmtId="0" fontId="24" fillId="2" borderId="0" xfId="0" applyFont="1" applyFill="1" applyAlignment="1">
      <alignment vertical="top" wrapText="1"/>
    </xf>
    <xf numFmtId="0" fontId="1" fillId="5" borderId="0" xfId="0" applyFont="1" applyFill="1"/>
    <xf numFmtId="0" fontId="2" fillId="5" borderId="0" xfId="0" applyFont="1" applyFill="1"/>
    <xf numFmtId="0" fontId="3" fillId="5" borderId="0" xfId="0" applyFont="1" applyFill="1" applyAlignment="1">
      <alignment vertical="center"/>
    </xf>
    <xf numFmtId="0" fontId="4" fillId="5" borderId="0" xfId="0" applyFont="1" applyFill="1"/>
    <xf numFmtId="0" fontId="6" fillId="5" borderId="0" xfId="0" applyFont="1" applyFill="1"/>
    <xf numFmtId="0" fontId="5" fillId="5" borderId="0" xfId="0" applyFont="1" applyFill="1" applyAlignment="1">
      <alignment horizontal="left" vertical="center"/>
    </xf>
    <xf numFmtId="0" fontId="2" fillId="5" borderId="0" xfId="0" applyFont="1" applyFill="1" applyAlignment="1"/>
    <xf numFmtId="0" fontId="24" fillId="2" borderId="0" xfId="0" applyFont="1" applyFill="1" applyBorder="1" applyAlignment="1">
      <alignment horizontal="left" vertical="center" wrapText="1"/>
    </xf>
    <xf numFmtId="0" fontId="16" fillId="3" borderId="0" xfId="0" applyFont="1" applyFill="1" applyBorder="1" applyAlignment="1">
      <alignment horizontal="left" vertical="center" wrapText="1"/>
    </xf>
    <xf numFmtId="165" fontId="23" fillId="5" borderId="0" xfId="0" applyNumberFormat="1" applyFont="1" applyFill="1" applyBorder="1" applyAlignment="1">
      <alignment horizontal="right" vertical="center"/>
    </xf>
    <xf numFmtId="0" fontId="17" fillId="2" borderId="0" xfId="0" applyFont="1" applyFill="1" applyBorder="1" applyAlignment="1">
      <alignment horizontal="right" vertical="center"/>
    </xf>
    <xf numFmtId="0" fontId="12" fillId="2" borderId="0" xfId="0" applyFont="1" applyFill="1" applyBorder="1" applyAlignment="1">
      <alignment horizontal="right" vertical="center"/>
    </xf>
    <xf numFmtId="165" fontId="12" fillId="2" borderId="0" xfId="0" applyNumberFormat="1" applyFont="1" applyFill="1" applyBorder="1" applyAlignment="1">
      <alignment horizontal="right" vertical="center"/>
    </xf>
    <xf numFmtId="0" fontId="11" fillId="2" borderId="0" xfId="0" applyFont="1" applyFill="1" applyBorder="1" applyAlignment="1">
      <alignment horizontal="left" vertical="center"/>
    </xf>
    <xf numFmtId="0" fontId="15" fillId="2" borderId="0" xfId="0" applyFont="1" applyFill="1" applyBorder="1" applyAlignment="1">
      <alignment horizontal="center" vertical="top"/>
    </xf>
    <xf numFmtId="0" fontId="16" fillId="2" borderId="0" xfId="0" applyFont="1" applyFill="1" applyBorder="1" applyAlignment="1">
      <alignment horizontal="left" vertical="top" wrapText="1"/>
    </xf>
    <xf numFmtId="0" fontId="16" fillId="2" borderId="0" xfId="0" applyFont="1" applyFill="1" applyAlignment="1">
      <alignment horizontal="left" vertical="top" wrapText="1"/>
    </xf>
    <xf numFmtId="0" fontId="13" fillId="2" borderId="0" xfId="0" applyFont="1" applyFill="1" applyBorder="1" applyAlignment="1">
      <alignment horizontal="left" vertical="center"/>
    </xf>
    <xf numFmtId="1" fontId="13" fillId="2" borderId="0" xfId="0" applyNumberFormat="1" applyFont="1" applyFill="1" applyBorder="1" applyAlignment="1">
      <alignment horizontal="center" vertical="center"/>
    </xf>
    <xf numFmtId="165" fontId="13" fillId="2" borderId="0" xfId="0" applyNumberFormat="1" applyFont="1" applyFill="1" applyBorder="1" applyAlignment="1">
      <alignment horizontal="center" vertical="center"/>
    </xf>
    <xf numFmtId="165" fontId="14" fillId="2" borderId="0" xfId="0" applyNumberFormat="1" applyFont="1" applyFill="1" applyBorder="1" applyAlignment="1">
      <alignment horizontal="right" vertical="center"/>
    </xf>
    <xf numFmtId="0" fontId="14" fillId="2" borderId="0" xfId="0" applyFont="1" applyFill="1" applyBorder="1" applyAlignment="1">
      <alignment horizontal="right" vertical="center"/>
    </xf>
    <xf numFmtId="0" fontId="13" fillId="2" borderId="1" xfId="0" applyFont="1" applyFill="1" applyBorder="1" applyAlignment="1">
      <alignment horizontal="left" vertical="center"/>
    </xf>
    <xf numFmtId="1" fontId="13" fillId="2" borderId="1" xfId="0" applyNumberFormat="1" applyFont="1" applyFill="1" applyBorder="1" applyAlignment="1">
      <alignment horizontal="center" vertical="center"/>
    </xf>
    <xf numFmtId="165" fontId="13" fillId="2" borderId="1" xfId="0" applyNumberFormat="1" applyFont="1" applyFill="1" applyBorder="1" applyAlignment="1">
      <alignment horizontal="center" vertical="center"/>
    </xf>
    <xf numFmtId="165" fontId="14" fillId="2" borderId="1" xfId="0" applyNumberFormat="1" applyFont="1" applyFill="1" applyBorder="1" applyAlignment="1">
      <alignment horizontal="right" vertical="center"/>
    </xf>
    <xf numFmtId="0" fontId="14" fillId="2" borderId="1" xfId="0" applyFont="1" applyFill="1" applyBorder="1" applyAlignment="1">
      <alignment horizontal="right" vertical="center"/>
    </xf>
    <xf numFmtId="0" fontId="5" fillId="5" borderId="0" xfId="0" applyFont="1" applyFill="1" applyAlignment="1">
      <alignment horizontal="center" vertical="center"/>
    </xf>
    <xf numFmtId="0" fontId="21" fillId="5" borderId="0" xfId="0" applyFont="1" applyFill="1" applyAlignment="1">
      <alignment horizontal="left" vertical="center"/>
    </xf>
    <xf numFmtId="0" fontId="22" fillId="5" borderId="0" xfId="0" applyFont="1" applyFill="1" applyAlignment="1">
      <alignment horizontal="right" vertical="center"/>
    </xf>
    <xf numFmtId="0" fontId="10" fillId="5" borderId="0" xfId="0" applyFont="1" applyFill="1" applyAlignment="1">
      <alignment horizontal="right" vertical="center"/>
    </xf>
    <xf numFmtId="0" fontId="15" fillId="2" borderId="0" xfId="0" applyFont="1" applyFill="1" applyBorder="1" applyAlignment="1">
      <alignment horizontal="center" vertical="top" wrapText="1"/>
    </xf>
    <xf numFmtId="0" fontId="15" fillId="2" borderId="0" xfId="0" applyFont="1" applyFill="1" applyBorder="1" applyAlignment="1">
      <alignment horizontal="center" vertical="center"/>
    </xf>
    <xf numFmtId="0" fontId="15" fillId="2" borderId="0" xfId="0" applyFont="1" applyFill="1" applyBorder="1" applyAlignment="1">
      <alignment horizontal="right" vertical="center"/>
    </xf>
    <xf numFmtId="165" fontId="17" fillId="2" borderId="0" xfId="0" applyNumberFormat="1" applyFont="1" applyFill="1" applyBorder="1" applyAlignment="1">
      <alignment horizontal="right"/>
    </xf>
    <xf numFmtId="0" fontId="11" fillId="2" borderId="0" xfId="0" applyFont="1" applyFill="1" applyBorder="1" applyAlignment="1">
      <alignment horizontal="right" vertical="center"/>
    </xf>
    <xf numFmtId="0" fontId="12" fillId="2" borderId="0" xfId="0" applyFont="1" applyFill="1" applyBorder="1" applyAlignment="1">
      <alignment horizontal="center" vertical="center" wrapText="1"/>
    </xf>
    <xf numFmtId="0" fontId="12" fillId="2" borderId="0" xfId="0" applyFont="1" applyFill="1" applyBorder="1" applyAlignment="1">
      <alignment horizontal="center" vertical="center"/>
    </xf>
    <xf numFmtId="0" fontId="7" fillId="2" borderId="0" xfId="0" applyFont="1" applyFill="1" applyBorder="1" applyAlignment="1">
      <alignment horizontal="left" vertical="center"/>
    </xf>
    <xf numFmtId="1" fontId="7" fillId="2" borderId="0" xfId="0" applyNumberFormat="1" applyFont="1" applyFill="1" applyBorder="1" applyAlignment="1">
      <alignment horizontal="center" vertical="center"/>
    </xf>
    <xf numFmtId="165" fontId="7" fillId="2" borderId="0" xfId="0" applyNumberFormat="1" applyFont="1" applyFill="1" applyBorder="1" applyAlignment="1">
      <alignment horizontal="center" vertical="center"/>
    </xf>
    <xf numFmtId="165" fontId="8" fillId="2" borderId="0" xfId="0" applyNumberFormat="1" applyFont="1" applyFill="1" applyBorder="1" applyAlignment="1">
      <alignment horizontal="right" vertical="center"/>
    </xf>
    <xf numFmtId="0" fontId="8" fillId="2" borderId="0" xfId="0" applyFont="1" applyFill="1" applyBorder="1" applyAlignment="1">
      <alignment horizontal="right" vertical="center"/>
    </xf>
    <xf numFmtId="0" fontId="5" fillId="5" borderId="0" xfId="0" applyFont="1" applyFill="1" applyAlignment="1">
      <alignment horizontal="left" vertical="center"/>
    </xf>
    <xf numFmtId="0" fontId="1" fillId="5" borderId="0" xfId="0" applyFont="1" applyFill="1" applyAlignment="1">
      <alignment horizontal="center" vertical="center"/>
    </xf>
    <xf numFmtId="0" fontId="1" fillId="5" borderId="0" xfId="0" applyFont="1" applyFill="1" applyAlignment="1">
      <alignment horizontal="center"/>
    </xf>
    <xf numFmtId="0" fontId="20" fillId="5" borderId="0" xfId="0" applyFont="1" applyFill="1" applyAlignment="1">
      <alignment horizontal="left" vertical="center"/>
    </xf>
    <xf numFmtId="0" fontId="9" fillId="5" borderId="0" xfId="0" applyFont="1" applyFill="1" applyAlignment="1">
      <alignment horizontal="right" vertical="center"/>
    </xf>
    <xf numFmtId="164" fontId="9" fillId="5" borderId="0" xfId="0" applyNumberFormat="1" applyFont="1" applyFill="1" applyAlignment="1">
      <alignment horizontal="left" vertical="center" indent="1"/>
    </xf>
    <xf numFmtId="14" fontId="9" fillId="5" borderId="0" xfId="0" applyNumberFormat="1" applyFont="1" applyFill="1" applyAlignment="1">
      <alignment horizontal="left" vertical="center" indent="1"/>
    </xf>
    <xf numFmtId="0" fontId="25" fillId="0" borderId="0" xfId="1"/>
  </cellXfs>
  <cellStyles count="2">
    <cellStyle name="Hyperlink" xfId="1" builtinId="8"/>
    <cellStyle name="Normal" xfId="0" builtinId="0"/>
  </cellStyles>
  <dxfs count="0"/>
  <tableStyles count="0" defaultTableStyle="TableStyleMedium2" defaultPivotStyle="PivotStyleLight16"/>
  <colors>
    <mruColors>
      <color rgb="FF3333FF"/>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templatelab.com/"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14287</xdr:rowOff>
    </xdr:from>
    <xdr:ext cx="2160027" cy="456248"/>
    <xdr:pic>
      <xdr:nvPicPr>
        <xdr:cNvPr id="2" name="Picture 1">
          <a:hlinkClick xmlns:r="http://schemas.openxmlformats.org/officeDocument/2006/relationships" r:id="rId1"/>
          <a:extLst>
            <a:ext uri="{FF2B5EF4-FFF2-40B4-BE49-F238E27FC236}">
              <a16:creationId xmlns:a16="http://schemas.microsoft.com/office/drawing/2014/main" id="{98AAA89F-1AE8-4344-9C8D-5C8BFD0A8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PWORK%202021/Alexey%20Nikolayev%20-%20Purchase%20Orders/Interior%20Design/Interior%20Design%20Purchase%20Order%20Template%20-%20TemplateLab.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ior Design PO Template"/>
      <sheetName val="©"/>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CE837-1084-4C6D-BD0F-1B09425AEA4C}">
  <dimension ref="A1:U52"/>
  <sheetViews>
    <sheetView tabSelected="1" topLeftCell="A31" workbookViewId="0">
      <selection activeCell="C44" sqref="C44:K45"/>
    </sheetView>
  </sheetViews>
  <sheetFormatPr defaultRowHeight="13.8" x14ac:dyDescent="0.25"/>
  <cols>
    <col min="1" max="2" width="2.33203125" style="1" customWidth="1"/>
    <col min="3" max="3" width="7.77734375" style="1" customWidth="1"/>
    <col min="4" max="4" width="10.6640625" style="1" customWidth="1"/>
    <col min="5" max="5" width="8.88671875" style="1"/>
    <col min="6" max="7" width="2.77734375" style="1" customWidth="1"/>
    <col min="8" max="8" width="7.21875" style="1" customWidth="1"/>
    <col min="9" max="9" width="6.88671875" style="1" customWidth="1"/>
    <col min="10" max="10" width="2.77734375" style="1" customWidth="1"/>
    <col min="11" max="11" width="5" style="1" customWidth="1"/>
    <col min="12" max="12" width="2" style="1" customWidth="1"/>
    <col min="13" max="13" width="6.109375" style="1" customWidth="1"/>
    <col min="14" max="14" width="2.44140625" style="1" customWidth="1"/>
    <col min="15" max="15" width="6.44140625" style="1" customWidth="1"/>
    <col min="16" max="16" width="5.33203125" style="1" customWidth="1"/>
    <col min="17" max="17" width="2.5546875" style="1" customWidth="1"/>
    <col min="18" max="18" width="4" style="1" customWidth="1"/>
    <col min="19" max="19" width="11.6640625" style="1" customWidth="1"/>
    <col min="20" max="20" width="2.77734375" style="1" customWidth="1"/>
    <col min="21" max="21" width="2.33203125" style="1" customWidth="1"/>
    <col min="22" max="24" width="1.77734375" style="1" customWidth="1"/>
    <col min="25" max="16384" width="8.88671875" style="1"/>
  </cols>
  <sheetData>
    <row r="1" spans="1:21" ht="18" customHeight="1" x14ac:dyDescent="0.25">
      <c r="A1" s="75"/>
      <c r="B1" s="75"/>
      <c r="C1" s="75"/>
      <c r="D1" s="75"/>
      <c r="E1" s="75"/>
      <c r="F1" s="75"/>
      <c r="G1" s="75"/>
      <c r="H1" s="75"/>
      <c r="I1" s="75"/>
      <c r="J1" s="75"/>
      <c r="K1" s="75"/>
      <c r="L1" s="75"/>
      <c r="M1" s="75"/>
      <c r="N1" s="75"/>
      <c r="O1" s="75"/>
      <c r="P1" s="75"/>
      <c r="Q1" s="75"/>
      <c r="R1" s="75"/>
      <c r="S1" s="75"/>
      <c r="T1" s="75"/>
      <c r="U1" s="75"/>
    </row>
    <row r="2" spans="1:21" ht="7.2" customHeight="1" x14ac:dyDescent="0.25">
      <c r="A2" s="30"/>
      <c r="B2" s="30"/>
      <c r="C2" s="28"/>
      <c r="D2" s="28"/>
      <c r="E2" s="28"/>
      <c r="F2" s="28"/>
      <c r="G2" s="28"/>
      <c r="H2" s="28"/>
      <c r="I2" s="28"/>
      <c r="J2" s="28"/>
      <c r="K2" s="28"/>
      <c r="L2" s="31"/>
      <c r="M2" s="31"/>
      <c r="N2" s="60" t="s">
        <v>25</v>
      </c>
      <c r="O2" s="60"/>
      <c r="P2" s="60"/>
      <c r="Q2" s="60"/>
      <c r="R2" s="60"/>
      <c r="S2" s="60"/>
      <c r="T2" s="31"/>
      <c r="U2" s="31"/>
    </row>
    <row r="3" spans="1:21" ht="14.4" customHeight="1" x14ac:dyDescent="0.25">
      <c r="A3" s="30"/>
      <c r="B3" s="30"/>
      <c r="C3" s="76" t="s">
        <v>23</v>
      </c>
      <c r="D3" s="76"/>
      <c r="E3" s="76"/>
      <c r="F3" s="76"/>
      <c r="G3" s="76"/>
      <c r="H3" s="76"/>
      <c r="I3" s="76"/>
      <c r="J3" s="76"/>
      <c r="K3" s="76"/>
      <c r="L3" s="32"/>
      <c r="M3" s="33"/>
      <c r="N3" s="60"/>
      <c r="O3" s="60"/>
      <c r="P3" s="60"/>
      <c r="Q3" s="60"/>
      <c r="R3" s="60"/>
      <c r="S3" s="60"/>
      <c r="T3" s="31"/>
      <c r="U3" s="31"/>
    </row>
    <row r="4" spans="1:21" ht="14.4" customHeight="1" x14ac:dyDescent="0.25">
      <c r="A4" s="30"/>
      <c r="B4" s="30"/>
      <c r="C4" s="76"/>
      <c r="D4" s="76"/>
      <c r="E4" s="76"/>
      <c r="F4" s="76"/>
      <c r="G4" s="76"/>
      <c r="H4" s="76"/>
      <c r="I4" s="76"/>
      <c r="J4" s="76"/>
      <c r="K4" s="76"/>
      <c r="L4" s="32"/>
      <c r="M4" s="33"/>
      <c r="N4" s="77" t="s">
        <v>24</v>
      </c>
      <c r="O4" s="77"/>
      <c r="P4" s="77"/>
      <c r="Q4" s="78">
        <v>1253</v>
      </c>
      <c r="R4" s="78"/>
      <c r="S4" s="78"/>
      <c r="T4" s="31"/>
      <c r="U4" s="31"/>
    </row>
    <row r="5" spans="1:21" ht="14.4" customHeight="1" x14ac:dyDescent="0.25">
      <c r="A5" s="30"/>
      <c r="B5" s="30"/>
      <c r="C5" s="76"/>
      <c r="D5" s="76"/>
      <c r="E5" s="76"/>
      <c r="F5" s="76"/>
      <c r="G5" s="76"/>
      <c r="H5" s="76"/>
      <c r="I5" s="76"/>
      <c r="J5" s="76"/>
      <c r="K5" s="76"/>
      <c r="L5" s="32"/>
      <c r="M5" s="33"/>
      <c r="N5" s="77" t="s">
        <v>0</v>
      </c>
      <c r="O5" s="77"/>
      <c r="P5" s="77"/>
      <c r="Q5" s="79">
        <v>44562</v>
      </c>
      <c r="R5" s="79"/>
      <c r="S5" s="79"/>
      <c r="T5" s="31"/>
      <c r="U5" s="31"/>
    </row>
    <row r="6" spans="1:21" ht="14.4" customHeight="1" x14ac:dyDescent="0.25">
      <c r="A6" s="30"/>
      <c r="B6" s="30"/>
      <c r="C6" s="34"/>
      <c r="D6" s="34"/>
      <c r="E6" s="34"/>
      <c r="F6" s="34"/>
      <c r="G6" s="34"/>
      <c r="H6" s="34"/>
      <c r="I6" s="34"/>
      <c r="J6" s="34"/>
      <c r="K6" s="34"/>
      <c r="L6" s="31"/>
      <c r="M6" s="33"/>
      <c r="N6" s="31"/>
      <c r="O6" s="31"/>
      <c r="P6" s="31"/>
      <c r="Q6" s="31"/>
      <c r="R6" s="31"/>
      <c r="S6" s="31"/>
      <c r="T6" s="31"/>
      <c r="U6" s="31"/>
    </row>
    <row r="7" spans="1:21" ht="13.05" customHeight="1" x14ac:dyDescent="0.25">
      <c r="A7" s="30"/>
      <c r="B7" s="30"/>
      <c r="C7" s="58" t="s">
        <v>21</v>
      </c>
      <c r="D7" s="58"/>
      <c r="E7" s="58"/>
      <c r="F7" s="58"/>
      <c r="G7" s="58"/>
      <c r="H7" s="58"/>
      <c r="I7" s="58"/>
      <c r="J7" s="58"/>
      <c r="K7" s="58"/>
      <c r="L7" s="58"/>
      <c r="M7" s="58"/>
      <c r="N7" s="59" t="s">
        <v>22</v>
      </c>
      <c r="O7" s="59"/>
      <c r="P7" s="59"/>
      <c r="Q7" s="59"/>
      <c r="R7" s="59"/>
      <c r="S7" s="59"/>
      <c r="T7" s="31"/>
      <c r="U7" s="31"/>
    </row>
    <row r="8" spans="1:21" ht="9.6" customHeight="1" x14ac:dyDescent="0.25">
      <c r="A8" s="75"/>
      <c r="B8" s="75"/>
      <c r="C8" s="75"/>
      <c r="D8" s="75"/>
      <c r="E8" s="75"/>
      <c r="F8" s="75"/>
      <c r="G8" s="75"/>
      <c r="H8" s="75"/>
      <c r="I8" s="75"/>
      <c r="J8" s="75"/>
      <c r="K8" s="75"/>
      <c r="L8" s="75"/>
      <c r="M8" s="75"/>
      <c r="N8" s="75"/>
      <c r="O8" s="75"/>
      <c r="P8" s="75"/>
      <c r="Q8" s="75"/>
      <c r="R8" s="75"/>
      <c r="S8" s="75"/>
      <c r="T8" s="75"/>
      <c r="U8" s="75"/>
    </row>
    <row r="9" spans="1:21" ht="16.05" customHeight="1" x14ac:dyDescent="0.25">
      <c r="A9" s="30"/>
      <c r="B9" s="30"/>
      <c r="C9" s="35" t="s">
        <v>19</v>
      </c>
      <c r="D9" s="30"/>
      <c r="E9" s="73" t="s">
        <v>1</v>
      </c>
      <c r="F9" s="73"/>
      <c r="G9" s="73"/>
      <c r="H9" s="73"/>
      <c r="I9" s="73"/>
      <c r="J9" s="57" t="s">
        <v>20</v>
      </c>
      <c r="K9" s="57"/>
      <c r="L9" s="57"/>
      <c r="M9" s="73" t="s">
        <v>1</v>
      </c>
      <c r="N9" s="73"/>
      <c r="O9" s="73"/>
      <c r="P9" s="73"/>
      <c r="Q9" s="73"/>
      <c r="R9" s="73"/>
      <c r="S9" s="73"/>
      <c r="T9" s="31"/>
      <c r="U9" s="31"/>
    </row>
    <row r="10" spans="1:21" ht="16.05" customHeight="1" x14ac:dyDescent="0.25">
      <c r="A10" s="30"/>
      <c r="B10" s="30"/>
      <c r="C10" s="31"/>
      <c r="D10" s="30"/>
      <c r="E10" s="73" t="s">
        <v>2</v>
      </c>
      <c r="F10" s="73"/>
      <c r="G10" s="73"/>
      <c r="H10" s="73"/>
      <c r="I10" s="73"/>
      <c r="J10" s="36"/>
      <c r="K10" s="31"/>
      <c r="L10" s="31"/>
      <c r="M10" s="73" t="s">
        <v>2</v>
      </c>
      <c r="N10" s="73"/>
      <c r="O10" s="73"/>
      <c r="P10" s="73"/>
      <c r="Q10" s="73"/>
      <c r="R10" s="73"/>
      <c r="S10" s="73"/>
      <c r="T10" s="31"/>
      <c r="U10" s="31"/>
    </row>
    <row r="11" spans="1:21" ht="16.05" customHeight="1" x14ac:dyDescent="0.25">
      <c r="A11" s="30"/>
      <c r="B11" s="30"/>
      <c r="C11" s="31"/>
      <c r="D11" s="30"/>
      <c r="E11" s="73" t="s">
        <v>3</v>
      </c>
      <c r="F11" s="73"/>
      <c r="G11" s="73"/>
      <c r="H11" s="73"/>
      <c r="I11" s="73"/>
      <c r="J11" s="36"/>
      <c r="K11" s="31"/>
      <c r="L11" s="31"/>
      <c r="M11" s="73" t="s">
        <v>3</v>
      </c>
      <c r="N11" s="73"/>
      <c r="O11" s="73"/>
      <c r="P11" s="73"/>
      <c r="Q11" s="73"/>
      <c r="R11" s="73"/>
      <c r="S11" s="73"/>
      <c r="T11" s="31"/>
      <c r="U11" s="31"/>
    </row>
    <row r="12" spans="1:21" ht="16.05" customHeight="1" x14ac:dyDescent="0.25">
      <c r="A12" s="30"/>
      <c r="B12" s="30"/>
      <c r="C12" s="31"/>
      <c r="D12" s="30"/>
      <c r="E12" s="73" t="s">
        <v>4</v>
      </c>
      <c r="F12" s="73"/>
      <c r="G12" s="73"/>
      <c r="H12" s="73"/>
      <c r="I12" s="73"/>
      <c r="J12" s="36"/>
      <c r="K12" s="31"/>
      <c r="L12" s="31"/>
      <c r="M12" s="73" t="s">
        <v>4</v>
      </c>
      <c r="N12" s="73"/>
      <c r="O12" s="73"/>
      <c r="P12" s="73"/>
      <c r="Q12" s="73"/>
      <c r="R12" s="73"/>
      <c r="S12" s="73"/>
      <c r="T12" s="31"/>
      <c r="U12" s="31"/>
    </row>
    <row r="13" spans="1:21" ht="15.6" customHeight="1" x14ac:dyDescent="0.25">
      <c r="A13" s="30"/>
      <c r="B13" s="30"/>
      <c r="C13" s="31"/>
      <c r="D13" s="30"/>
      <c r="E13" s="73" t="s">
        <v>5</v>
      </c>
      <c r="F13" s="73"/>
      <c r="G13" s="73"/>
      <c r="H13" s="73"/>
      <c r="I13" s="73"/>
      <c r="J13" s="36"/>
      <c r="K13" s="31"/>
      <c r="L13" s="31"/>
      <c r="M13" s="73" t="s">
        <v>5</v>
      </c>
      <c r="N13" s="73"/>
      <c r="O13" s="73"/>
      <c r="P13" s="73"/>
      <c r="Q13" s="73"/>
      <c r="R13" s="73"/>
      <c r="S13" s="73"/>
      <c r="T13" s="31"/>
      <c r="U13" s="31"/>
    </row>
    <row r="14" spans="1:21" ht="16.8" customHeight="1" x14ac:dyDescent="0.25">
      <c r="A14" s="74"/>
      <c r="B14" s="74"/>
      <c r="C14" s="74"/>
      <c r="D14" s="74"/>
      <c r="E14" s="74"/>
      <c r="F14" s="74"/>
      <c r="G14" s="74"/>
      <c r="H14" s="74"/>
      <c r="I14" s="74"/>
      <c r="J14" s="74"/>
      <c r="K14" s="74"/>
      <c r="L14" s="74"/>
      <c r="M14" s="74"/>
      <c r="N14" s="74"/>
      <c r="O14" s="74"/>
      <c r="P14" s="74"/>
      <c r="Q14" s="74"/>
      <c r="R14" s="74"/>
      <c r="S14" s="74"/>
      <c r="T14" s="74"/>
      <c r="U14" s="74"/>
    </row>
    <row r="15" spans="1:21" ht="13.2" customHeight="1" x14ac:dyDescent="0.25">
      <c r="A15" s="7"/>
      <c r="B15" s="7"/>
      <c r="C15" s="7"/>
      <c r="D15" s="7"/>
      <c r="E15" s="7"/>
      <c r="F15" s="7"/>
      <c r="G15" s="7"/>
      <c r="H15" s="7"/>
      <c r="I15" s="7"/>
      <c r="J15" s="7"/>
      <c r="K15" s="7"/>
      <c r="L15" s="7"/>
      <c r="M15" s="7"/>
      <c r="N15" s="7"/>
      <c r="O15" s="7"/>
      <c r="P15" s="7"/>
      <c r="Q15" s="7"/>
      <c r="R15" s="7"/>
      <c r="S15" s="7"/>
      <c r="T15" s="7"/>
      <c r="U15" s="7"/>
    </row>
    <row r="16" spans="1:21" ht="18.600000000000001" customHeight="1" x14ac:dyDescent="0.25">
      <c r="A16" s="2"/>
      <c r="B16" s="8"/>
      <c r="C16" s="43" t="s">
        <v>26</v>
      </c>
      <c r="D16" s="43"/>
      <c r="E16" s="43"/>
      <c r="F16" s="43"/>
      <c r="G16" s="8"/>
      <c r="H16" s="8"/>
      <c r="I16" s="8"/>
      <c r="J16" s="8"/>
      <c r="K16" s="8"/>
      <c r="L16" s="8"/>
      <c r="M16" s="8"/>
      <c r="N16" s="8"/>
      <c r="O16" s="8"/>
      <c r="P16" s="8"/>
      <c r="Q16" s="8"/>
      <c r="R16" s="8"/>
      <c r="S16" s="8"/>
      <c r="T16" s="8"/>
      <c r="U16" s="8"/>
    </row>
    <row r="17" spans="1:21" ht="28.2" customHeight="1" x14ac:dyDescent="0.25">
      <c r="A17" s="3"/>
      <c r="B17" s="3"/>
      <c r="C17" s="9" t="s">
        <v>27</v>
      </c>
      <c r="D17" s="10" t="s">
        <v>28</v>
      </c>
      <c r="E17" s="10"/>
      <c r="F17" s="10"/>
      <c r="G17" s="10"/>
      <c r="H17" s="10"/>
      <c r="I17" s="10"/>
      <c r="J17" s="10"/>
      <c r="K17" s="66" t="s">
        <v>7</v>
      </c>
      <c r="L17" s="66"/>
      <c r="M17" s="66"/>
      <c r="N17" s="10"/>
      <c r="O17" s="66" t="s">
        <v>8</v>
      </c>
      <c r="P17" s="67"/>
      <c r="Q17" s="10"/>
      <c r="R17" s="66" t="s">
        <v>9</v>
      </c>
      <c r="S17" s="67"/>
      <c r="T17" s="3"/>
      <c r="U17" s="3"/>
    </row>
    <row r="18" spans="1:21" ht="18" customHeight="1" x14ac:dyDescent="0.25">
      <c r="A18" s="4"/>
      <c r="B18" s="4"/>
      <c r="C18" s="11">
        <v>1</v>
      </c>
      <c r="D18" s="47" t="s">
        <v>10</v>
      </c>
      <c r="E18" s="47"/>
      <c r="F18" s="47"/>
      <c r="G18" s="47"/>
      <c r="H18" s="47"/>
      <c r="I18" s="47"/>
      <c r="J18" s="47"/>
      <c r="K18" s="48">
        <v>2</v>
      </c>
      <c r="L18" s="48"/>
      <c r="M18" s="48"/>
      <c r="N18" s="12"/>
      <c r="O18" s="49">
        <v>50</v>
      </c>
      <c r="P18" s="49"/>
      <c r="Q18" s="12"/>
      <c r="R18" s="50">
        <f t="shared" ref="R18:R23" si="0">IF(AND(ISBLANK(K18),ISBLANK(O18)),"",K18*8*O18)</f>
        <v>800</v>
      </c>
      <c r="S18" s="51"/>
      <c r="T18" s="4"/>
      <c r="U18" s="4"/>
    </row>
    <row r="19" spans="1:21" ht="18" customHeight="1" x14ac:dyDescent="0.25">
      <c r="A19" s="4"/>
      <c r="B19" s="4"/>
      <c r="C19" s="11">
        <v>2</v>
      </c>
      <c r="D19" s="47" t="s">
        <v>11</v>
      </c>
      <c r="E19" s="47"/>
      <c r="F19" s="47"/>
      <c r="G19" s="47"/>
      <c r="H19" s="47"/>
      <c r="I19" s="47"/>
      <c r="J19" s="47"/>
      <c r="K19" s="48">
        <v>3</v>
      </c>
      <c r="L19" s="48"/>
      <c r="M19" s="48"/>
      <c r="N19" s="12"/>
      <c r="O19" s="49">
        <v>105</v>
      </c>
      <c r="P19" s="49"/>
      <c r="Q19" s="12"/>
      <c r="R19" s="50">
        <f t="shared" si="0"/>
        <v>2520</v>
      </c>
      <c r="S19" s="51"/>
      <c r="T19" s="4"/>
      <c r="U19" s="4"/>
    </row>
    <row r="20" spans="1:21" ht="18" customHeight="1" x14ac:dyDescent="0.25">
      <c r="A20" s="4"/>
      <c r="B20" s="4"/>
      <c r="C20" s="11">
        <v>3</v>
      </c>
      <c r="D20" s="47" t="s">
        <v>12</v>
      </c>
      <c r="E20" s="47"/>
      <c r="F20" s="47"/>
      <c r="G20" s="47"/>
      <c r="H20" s="47"/>
      <c r="I20" s="47"/>
      <c r="J20" s="47"/>
      <c r="K20" s="48">
        <v>1</v>
      </c>
      <c r="L20" s="48"/>
      <c r="M20" s="48"/>
      <c r="N20" s="12"/>
      <c r="O20" s="49">
        <v>30</v>
      </c>
      <c r="P20" s="49"/>
      <c r="Q20" s="12"/>
      <c r="R20" s="50">
        <f t="shared" si="0"/>
        <v>240</v>
      </c>
      <c r="S20" s="51"/>
      <c r="T20" s="4"/>
      <c r="U20" s="4"/>
    </row>
    <row r="21" spans="1:21" ht="18" customHeight="1" x14ac:dyDescent="0.25">
      <c r="A21" s="4"/>
      <c r="B21" s="4"/>
      <c r="C21" s="11">
        <v>4</v>
      </c>
      <c r="D21" s="47" t="s">
        <v>13</v>
      </c>
      <c r="E21" s="47"/>
      <c r="F21" s="47"/>
      <c r="G21" s="47"/>
      <c r="H21" s="47"/>
      <c r="I21" s="47"/>
      <c r="J21" s="47"/>
      <c r="K21" s="48">
        <v>1</v>
      </c>
      <c r="L21" s="48"/>
      <c r="M21" s="48"/>
      <c r="N21" s="12"/>
      <c r="O21" s="49">
        <v>50</v>
      </c>
      <c r="P21" s="49"/>
      <c r="Q21" s="12"/>
      <c r="R21" s="50">
        <f t="shared" si="0"/>
        <v>400</v>
      </c>
      <c r="S21" s="51"/>
      <c r="T21" s="4"/>
      <c r="U21" s="4"/>
    </row>
    <row r="22" spans="1:21" ht="18" customHeight="1" x14ac:dyDescent="0.25">
      <c r="A22" s="4"/>
      <c r="B22" s="4"/>
      <c r="C22" s="11">
        <v>5</v>
      </c>
      <c r="D22" s="47" t="s">
        <v>29</v>
      </c>
      <c r="E22" s="47"/>
      <c r="F22" s="47"/>
      <c r="G22" s="47"/>
      <c r="H22" s="47"/>
      <c r="I22" s="47"/>
      <c r="J22" s="47"/>
      <c r="K22" s="48">
        <v>6</v>
      </c>
      <c r="L22" s="48"/>
      <c r="M22" s="48"/>
      <c r="N22" s="12"/>
      <c r="O22" s="49">
        <v>25</v>
      </c>
      <c r="P22" s="49"/>
      <c r="Q22" s="12"/>
      <c r="R22" s="50">
        <f t="shared" si="0"/>
        <v>1200</v>
      </c>
      <c r="S22" s="51"/>
      <c r="T22" s="4"/>
      <c r="U22" s="4"/>
    </row>
    <row r="23" spans="1:21" ht="18" customHeight="1" thickBot="1" x14ac:dyDescent="0.3">
      <c r="A23" s="4"/>
      <c r="B23" s="4"/>
      <c r="C23" s="14">
        <v>6</v>
      </c>
      <c r="D23" s="52" t="s">
        <v>30</v>
      </c>
      <c r="E23" s="52"/>
      <c r="F23" s="52"/>
      <c r="G23" s="52"/>
      <c r="H23" s="52"/>
      <c r="I23" s="52"/>
      <c r="J23" s="52"/>
      <c r="K23" s="53">
        <v>4</v>
      </c>
      <c r="L23" s="53"/>
      <c r="M23" s="53"/>
      <c r="N23" s="13"/>
      <c r="O23" s="54">
        <v>20</v>
      </c>
      <c r="P23" s="54"/>
      <c r="Q23" s="13"/>
      <c r="R23" s="55">
        <f t="shared" si="0"/>
        <v>640</v>
      </c>
      <c r="S23" s="56"/>
      <c r="T23" s="4"/>
      <c r="U23" s="4"/>
    </row>
    <row r="24" spans="1:21" ht="18" customHeight="1" x14ac:dyDescent="0.25">
      <c r="A24" s="4"/>
      <c r="B24" s="4"/>
      <c r="C24" s="41" t="s">
        <v>31</v>
      </c>
      <c r="D24" s="41"/>
      <c r="E24" s="41"/>
      <c r="F24" s="41"/>
      <c r="G24" s="41"/>
      <c r="H24" s="41"/>
      <c r="I24" s="41"/>
      <c r="J24" s="41"/>
      <c r="K24" s="41"/>
      <c r="L24" s="41"/>
      <c r="M24" s="41"/>
      <c r="N24" s="41"/>
      <c r="O24" s="41"/>
      <c r="P24" s="41"/>
      <c r="Q24" s="42">
        <f>SUM(R18:S23)</f>
        <v>5800</v>
      </c>
      <c r="R24" s="42"/>
      <c r="S24" s="42"/>
      <c r="T24" s="4"/>
      <c r="U24" s="4"/>
    </row>
    <row r="25" spans="1:21" ht="12.6" customHeight="1" x14ac:dyDescent="0.25">
      <c r="A25" s="4"/>
      <c r="B25" s="4"/>
      <c r="C25" s="5"/>
      <c r="D25" s="68"/>
      <c r="E25" s="68"/>
      <c r="F25" s="68"/>
      <c r="G25" s="68"/>
      <c r="H25" s="68"/>
      <c r="I25" s="68"/>
      <c r="J25" s="68"/>
      <c r="K25" s="69"/>
      <c r="L25" s="69"/>
      <c r="M25" s="69"/>
      <c r="N25" s="6"/>
      <c r="O25" s="70"/>
      <c r="P25" s="70"/>
      <c r="Q25" s="6"/>
      <c r="R25" s="71"/>
      <c r="S25" s="72"/>
      <c r="T25" s="4"/>
      <c r="U25" s="4"/>
    </row>
    <row r="26" spans="1:21" ht="14.4" customHeight="1" x14ac:dyDescent="0.25">
      <c r="A26" s="16"/>
      <c r="B26" s="16"/>
      <c r="C26" s="43" t="s">
        <v>32</v>
      </c>
      <c r="D26" s="43"/>
      <c r="E26" s="43"/>
      <c r="F26" s="43"/>
      <c r="G26" s="16"/>
      <c r="H26" s="16"/>
      <c r="I26" s="16"/>
      <c r="J26" s="16"/>
      <c r="K26" s="16"/>
      <c r="L26" s="16"/>
      <c r="M26" s="16"/>
      <c r="N26" s="16"/>
      <c r="O26" s="16"/>
      <c r="P26" s="16"/>
      <c r="Q26" s="16"/>
      <c r="R26" s="16"/>
      <c r="S26" s="16"/>
      <c r="T26" s="16"/>
      <c r="U26" s="8"/>
    </row>
    <row r="27" spans="1:21" ht="28.2" customHeight="1" x14ac:dyDescent="0.25">
      <c r="A27" s="15"/>
      <c r="B27" s="15"/>
      <c r="C27" s="9" t="s">
        <v>27</v>
      </c>
      <c r="D27" s="10" t="s">
        <v>6</v>
      </c>
      <c r="E27" s="10"/>
      <c r="F27" s="10"/>
      <c r="G27" s="10"/>
      <c r="H27" s="10"/>
      <c r="I27" s="10"/>
      <c r="J27" s="10"/>
      <c r="K27" s="66" t="s">
        <v>33</v>
      </c>
      <c r="L27" s="66"/>
      <c r="M27" s="66"/>
      <c r="N27" s="10"/>
      <c r="O27" s="66" t="s">
        <v>34</v>
      </c>
      <c r="P27" s="67"/>
      <c r="Q27" s="10"/>
      <c r="R27" s="66" t="s">
        <v>9</v>
      </c>
      <c r="S27" s="67"/>
      <c r="T27" s="15"/>
      <c r="U27" s="3"/>
    </row>
    <row r="28" spans="1:21" ht="18" customHeight="1" x14ac:dyDescent="0.25">
      <c r="A28" s="17"/>
      <c r="B28" s="17"/>
      <c r="C28" s="11">
        <v>1</v>
      </c>
      <c r="D28" s="47" t="s">
        <v>46</v>
      </c>
      <c r="E28" s="47"/>
      <c r="F28" s="47"/>
      <c r="G28" s="47"/>
      <c r="H28" s="47"/>
      <c r="I28" s="47"/>
      <c r="J28" s="47"/>
      <c r="K28" s="48">
        <v>5000</v>
      </c>
      <c r="L28" s="48"/>
      <c r="M28" s="48"/>
      <c r="N28" s="12"/>
      <c r="O28" s="49">
        <v>1.7</v>
      </c>
      <c r="P28" s="49"/>
      <c r="Q28" s="12"/>
      <c r="R28" s="50">
        <f>IF(AND(ISBLANK(K28),ISBLANK(O28)),"",K28*O28)</f>
        <v>8500</v>
      </c>
      <c r="S28" s="51"/>
      <c r="T28" s="17"/>
      <c r="U28" s="4"/>
    </row>
    <row r="29" spans="1:21" ht="18" customHeight="1" x14ac:dyDescent="0.25">
      <c r="A29" s="17"/>
      <c r="B29" s="17"/>
      <c r="C29" s="11">
        <v>2</v>
      </c>
      <c r="D29" s="47" t="s">
        <v>39</v>
      </c>
      <c r="E29" s="47"/>
      <c r="F29" s="47"/>
      <c r="G29" s="47"/>
      <c r="H29" s="47"/>
      <c r="I29" s="47"/>
      <c r="J29" s="47"/>
      <c r="K29" s="48">
        <v>4</v>
      </c>
      <c r="L29" s="48"/>
      <c r="M29" s="48"/>
      <c r="N29" s="12"/>
      <c r="O29" s="49">
        <v>150</v>
      </c>
      <c r="P29" s="49"/>
      <c r="Q29" s="12"/>
      <c r="R29" s="50">
        <f t="shared" ref="R29:R35" si="1">IF(AND(ISBLANK(K29),ISBLANK(O29)),"",K29*O29)</f>
        <v>600</v>
      </c>
      <c r="S29" s="51"/>
      <c r="T29" s="17"/>
      <c r="U29" s="4"/>
    </row>
    <row r="30" spans="1:21" ht="18" customHeight="1" x14ac:dyDescent="0.25">
      <c r="A30" s="17"/>
      <c r="B30" s="17"/>
      <c r="C30" s="11">
        <v>3</v>
      </c>
      <c r="D30" s="47" t="s">
        <v>40</v>
      </c>
      <c r="E30" s="47"/>
      <c r="F30" s="47"/>
      <c r="G30" s="47"/>
      <c r="H30" s="47"/>
      <c r="I30" s="47"/>
      <c r="J30" s="47"/>
      <c r="K30" s="48">
        <v>150</v>
      </c>
      <c r="L30" s="48"/>
      <c r="M30" s="48"/>
      <c r="N30" s="12"/>
      <c r="O30" s="49">
        <v>100</v>
      </c>
      <c r="P30" s="49"/>
      <c r="Q30" s="12"/>
      <c r="R30" s="50">
        <f t="shared" si="1"/>
        <v>15000</v>
      </c>
      <c r="S30" s="51"/>
      <c r="T30" s="17"/>
      <c r="U30" s="4"/>
    </row>
    <row r="31" spans="1:21" ht="18" customHeight="1" x14ac:dyDescent="0.25">
      <c r="A31" s="17"/>
      <c r="B31" s="17"/>
      <c r="C31" s="11">
        <v>4</v>
      </c>
      <c r="D31" s="47" t="s">
        <v>41</v>
      </c>
      <c r="E31" s="47"/>
      <c r="F31" s="47"/>
      <c r="G31" s="47"/>
      <c r="H31" s="47"/>
      <c r="I31" s="47"/>
      <c r="J31" s="47"/>
      <c r="K31" s="48">
        <v>100</v>
      </c>
      <c r="L31" s="48"/>
      <c r="M31" s="48"/>
      <c r="N31" s="12"/>
      <c r="O31" s="49">
        <v>2.1</v>
      </c>
      <c r="P31" s="49"/>
      <c r="Q31" s="12"/>
      <c r="R31" s="50">
        <f t="shared" si="1"/>
        <v>210</v>
      </c>
      <c r="S31" s="51"/>
      <c r="T31" s="17"/>
      <c r="U31" s="4"/>
    </row>
    <row r="32" spans="1:21" ht="18" customHeight="1" x14ac:dyDescent="0.25">
      <c r="A32" s="17"/>
      <c r="B32" s="17"/>
      <c r="C32" s="11">
        <v>5</v>
      </c>
      <c r="D32" s="47" t="s">
        <v>42</v>
      </c>
      <c r="E32" s="47"/>
      <c r="F32" s="47"/>
      <c r="G32" s="47"/>
      <c r="H32" s="47"/>
      <c r="I32" s="47"/>
      <c r="J32" s="47"/>
      <c r="K32" s="48">
        <v>100</v>
      </c>
      <c r="L32" s="48"/>
      <c r="M32" s="48"/>
      <c r="N32" s="12"/>
      <c r="O32" s="49">
        <v>10</v>
      </c>
      <c r="P32" s="49"/>
      <c r="Q32" s="12"/>
      <c r="R32" s="50">
        <f t="shared" si="1"/>
        <v>1000</v>
      </c>
      <c r="S32" s="51"/>
      <c r="T32" s="17"/>
      <c r="U32" s="4"/>
    </row>
    <row r="33" spans="1:21" ht="18" customHeight="1" x14ac:dyDescent="0.25">
      <c r="A33" s="17"/>
      <c r="B33" s="17"/>
      <c r="C33" s="11">
        <v>6</v>
      </c>
      <c r="D33" s="47" t="s">
        <v>43</v>
      </c>
      <c r="E33" s="47"/>
      <c r="F33" s="47"/>
      <c r="G33" s="47"/>
      <c r="H33" s="47"/>
      <c r="I33" s="47"/>
      <c r="J33" s="47"/>
      <c r="K33" s="48">
        <v>600</v>
      </c>
      <c r="L33" s="48"/>
      <c r="M33" s="48"/>
      <c r="N33" s="12"/>
      <c r="O33" s="49">
        <v>5.8</v>
      </c>
      <c r="P33" s="49"/>
      <c r="Q33" s="12"/>
      <c r="R33" s="50">
        <f t="shared" si="1"/>
        <v>3480</v>
      </c>
      <c r="S33" s="51"/>
      <c r="T33" s="17"/>
      <c r="U33" s="4"/>
    </row>
    <row r="34" spans="1:21" ht="18" customHeight="1" x14ac:dyDescent="0.25">
      <c r="A34" s="17"/>
      <c r="B34" s="17"/>
      <c r="C34" s="11">
        <v>7</v>
      </c>
      <c r="D34" s="47" t="s">
        <v>44</v>
      </c>
      <c r="E34" s="47"/>
      <c r="F34" s="47"/>
      <c r="G34" s="47"/>
      <c r="H34" s="47"/>
      <c r="I34" s="47"/>
      <c r="J34" s="47"/>
      <c r="K34" s="48">
        <v>10</v>
      </c>
      <c r="L34" s="48"/>
      <c r="M34" s="48"/>
      <c r="N34" s="12"/>
      <c r="O34" s="49">
        <v>180</v>
      </c>
      <c r="P34" s="49"/>
      <c r="Q34" s="12"/>
      <c r="R34" s="50">
        <f t="shared" si="1"/>
        <v>1800</v>
      </c>
      <c r="S34" s="51"/>
      <c r="T34" s="17"/>
      <c r="U34" s="4"/>
    </row>
    <row r="35" spans="1:21" ht="18" customHeight="1" thickBot="1" x14ac:dyDescent="0.3">
      <c r="A35" s="17"/>
      <c r="B35" s="17"/>
      <c r="C35" s="14">
        <v>8</v>
      </c>
      <c r="D35" s="52" t="s">
        <v>45</v>
      </c>
      <c r="E35" s="52"/>
      <c r="F35" s="52"/>
      <c r="G35" s="52"/>
      <c r="H35" s="52"/>
      <c r="I35" s="52"/>
      <c r="J35" s="52"/>
      <c r="K35" s="53">
        <v>1</v>
      </c>
      <c r="L35" s="53"/>
      <c r="M35" s="53"/>
      <c r="N35" s="13"/>
      <c r="O35" s="54">
        <v>2500</v>
      </c>
      <c r="P35" s="54"/>
      <c r="Q35" s="13"/>
      <c r="R35" s="55">
        <f t="shared" si="1"/>
        <v>2500</v>
      </c>
      <c r="S35" s="56"/>
      <c r="T35" s="17"/>
      <c r="U35" s="4"/>
    </row>
    <row r="36" spans="1:21" ht="18" customHeight="1" x14ac:dyDescent="0.25">
      <c r="A36" s="17"/>
      <c r="B36" s="17"/>
      <c r="C36" s="41" t="s">
        <v>35</v>
      </c>
      <c r="D36" s="41"/>
      <c r="E36" s="41"/>
      <c r="F36" s="41"/>
      <c r="G36" s="41"/>
      <c r="H36" s="41"/>
      <c r="I36" s="41"/>
      <c r="J36" s="41"/>
      <c r="K36" s="41"/>
      <c r="L36" s="41"/>
      <c r="M36" s="41"/>
      <c r="N36" s="41"/>
      <c r="O36" s="41"/>
      <c r="P36" s="41"/>
      <c r="Q36" s="42">
        <f>SUM(R28:S35)</f>
        <v>33090</v>
      </c>
      <c r="R36" s="42"/>
      <c r="S36" s="42"/>
      <c r="T36" s="17"/>
      <c r="U36" s="4"/>
    </row>
    <row r="37" spans="1:21" ht="12" customHeight="1" x14ac:dyDescent="0.25">
      <c r="A37" s="17"/>
      <c r="B37" s="17"/>
      <c r="C37" s="62"/>
      <c r="D37" s="62"/>
      <c r="E37" s="62"/>
      <c r="F37" s="62"/>
      <c r="G37" s="62"/>
      <c r="H37" s="62"/>
      <c r="I37" s="62"/>
      <c r="J37" s="62"/>
      <c r="K37" s="62"/>
      <c r="L37" s="62"/>
      <c r="M37" s="62"/>
      <c r="N37" s="62"/>
      <c r="O37" s="62"/>
      <c r="P37" s="62"/>
      <c r="Q37" s="62"/>
      <c r="R37" s="62"/>
      <c r="S37" s="62"/>
      <c r="T37" s="17"/>
      <c r="U37" s="4"/>
    </row>
    <row r="38" spans="1:21" ht="16.05" customHeight="1" x14ac:dyDescent="0.25">
      <c r="A38" s="17"/>
      <c r="B38" s="17"/>
      <c r="C38" s="45" t="s">
        <v>18</v>
      </c>
      <c r="D38" s="45"/>
      <c r="E38" s="45"/>
      <c r="F38" s="45"/>
      <c r="G38" s="45"/>
      <c r="H38" s="45"/>
      <c r="I38" s="45"/>
      <c r="J38" s="45"/>
      <c r="K38" s="45"/>
      <c r="L38" s="44"/>
      <c r="M38" s="44"/>
      <c r="N38" s="44"/>
      <c r="O38" s="44"/>
      <c r="P38" s="63" t="s">
        <v>14</v>
      </c>
      <c r="Q38" s="63"/>
      <c r="R38" s="63"/>
      <c r="S38" s="63"/>
      <c r="T38" s="17"/>
      <c r="U38" s="4"/>
    </row>
    <row r="39" spans="1:21" ht="19.05" customHeight="1" x14ac:dyDescent="0.35">
      <c r="A39" s="17"/>
      <c r="B39" s="17"/>
      <c r="C39" s="45"/>
      <c r="D39" s="45"/>
      <c r="E39" s="45"/>
      <c r="F39" s="45"/>
      <c r="G39" s="45"/>
      <c r="H39" s="45"/>
      <c r="I39" s="45"/>
      <c r="J39" s="45"/>
      <c r="K39" s="45"/>
      <c r="L39" s="44"/>
      <c r="M39" s="44"/>
      <c r="N39" s="44"/>
      <c r="O39" s="44"/>
      <c r="P39" s="64">
        <f>SUM(Q24,Q36)</f>
        <v>38890</v>
      </c>
      <c r="Q39" s="64"/>
      <c r="R39" s="64"/>
      <c r="S39" s="64"/>
      <c r="T39" s="17"/>
      <c r="U39" s="4"/>
    </row>
    <row r="40" spans="1:21" x14ac:dyDescent="0.25">
      <c r="A40" s="17"/>
      <c r="B40" s="17"/>
      <c r="C40" s="45"/>
      <c r="D40" s="45"/>
      <c r="E40" s="45"/>
      <c r="F40" s="45"/>
      <c r="G40" s="45"/>
      <c r="H40" s="45"/>
      <c r="I40" s="45"/>
      <c r="J40" s="45"/>
      <c r="K40" s="45"/>
      <c r="L40" s="44"/>
      <c r="M40" s="44"/>
      <c r="N40" s="44"/>
      <c r="O40" s="44"/>
      <c r="P40" s="18"/>
      <c r="Q40" s="18"/>
      <c r="R40" s="18"/>
      <c r="S40" s="18"/>
      <c r="T40" s="17"/>
      <c r="U40" s="4"/>
    </row>
    <row r="41" spans="1:21" ht="19.8" customHeight="1" x14ac:dyDescent="0.25">
      <c r="A41" s="17"/>
      <c r="B41" s="17"/>
      <c r="C41" s="45"/>
      <c r="D41" s="45"/>
      <c r="E41" s="45"/>
      <c r="F41" s="45"/>
      <c r="G41" s="45"/>
      <c r="H41" s="45"/>
      <c r="I41" s="45"/>
      <c r="J41" s="45"/>
      <c r="K41" s="45"/>
      <c r="L41" s="44"/>
      <c r="M41" s="44"/>
      <c r="N41" s="44"/>
      <c r="O41" s="44"/>
      <c r="P41" s="18"/>
      <c r="Q41" s="65" t="s">
        <v>15</v>
      </c>
      <c r="R41" s="65"/>
      <c r="S41" s="19">
        <v>10</v>
      </c>
      <c r="T41" s="17"/>
      <c r="U41" s="4"/>
    </row>
    <row r="42" spans="1:21" ht="6.6" customHeight="1" x14ac:dyDescent="0.25">
      <c r="A42" s="17"/>
      <c r="B42" s="17"/>
      <c r="C42" s="61"/>
      <c r="D42" s="61"/>
      <c r="E42" s="61"/>
      <c r="F42" s="61"/>
      <c r="G42" s="61"/>
      <c r="H42" s="61"/>
      <c r="I42" s="61"/>
      <c r="J42" s="61"/>
      <c r="K42" s="61"/>
      <c r="L42" s="61"/>
      <c r="M42" s="61"/>
      <c r="N42" s="61"/>
      <c r="O42" s="61"/>
      <c r="P42" s="61"/>
      <c r="Q42" s="61"/>
      <c r="R42" s="61"/>
      <c r="S42" s="61"/>
      <c r="T42" s="17"/>
      <c r="U42" s="4"/>
    </row>
    <row r="43" spans="1:21" ht="15" x14ac:dyDescent="0.25">
      <c r="A43" s="17"/>
      <c r="B43" s="17"/>
      <c r="C43" s="20" t="s">
        <v>16</v>
      </c>
      <c r="D43" s="21"/>
      <c r="E43" s="21"/>
      <c r="F43" s="21"/>
      <c r="G43" s="21"/>
      <c r="H43" s="21"/>
      <c r="I43" s="21"/>
      <c r="J43" s="22"/>
      <c r="K43" s="22"/>
      <c r="L43" s="22"/>
      <c r="M43" s="22"/>
      <c r="N43" s="22"/>
      <c r="O43" s="22"/>
      <c r="P43" s="22"/>
      <c r="Q43" s="22"/>
      <c r="R43" s="22"/>
      <c r="S43" s="22"/>
      <c r="T43" s="17"/>
      <c r="U43" s="4"/>
    </row>
    <row r="44" spans="1:21" ht="19.8" customHeight="1" x14ac:dyDescent="0.25">
      <c r="A44" s="17"/>
      <c r="B44" s="17"/>
      <c r="C44" s="46" t="s">
        <v>38</v>
      </c>
      <c r="D44" s="46"/>
      <c r="E44" s="46"/>
      <c r="F44" s="46"/>
      <c r="G44" s="46"/>
      <c r="H44" s="46"/>
      <c r="I44" s="46"/>
      <c r="J44" s="46"/>
      <c r="K44" s="46"/>
      <c r="L44" s="23"/>
      <c r="M44" s="23"/>
      <c r="N44" s="23"/>
      <c r="O44" s="24"/>
      <c r="P44" s="18"/>
      <c r="Q44" s="18"/>
      <c r="R44" s="18"/>
      <c r="S44" s="2"/>
      <c r="T44" s="17"/>
      <c r="U44" s="4"/>
    </row>
    <row r="45" spans="1:21" ht="11.4" customHeight="1" x14ac:dyDescent="0.25">
      <c r="A45" s="17"/>
      <c r="B45" s="17"/>
      <c r="C45" s="46"/>
      <c r="D45" s="46"/>
      <c r="E45" s="46"/>
      <c r="F45" s="46"/>
      <c r="G45" s="46"/>
      <c r="H45" s="46"/>
      <c r="I45" s="46"/>
      <c r="J45" s="46"/>
      <c r="K45" s="46"/>
      <c r="L45" s="23"/>
      <c r="M45" s="23"/>
      <c r="N45" s="23"/>
      <c r="O45" s="2"/>
      <c r="P45" s="2"/>
      <c r="Q45" s="2"/>
      <c r="R45" s="2"/>
      <c r="S45" s="2"/>
      <c r="T45" s="17"/>
      <c r="U45" s="4"/>
    </row>
    <row r="46" spans="1:21" ht="7.8" customHeight="1" x14ac:dyDescent="0.25">
      <c r="A46" s="17"/>
      <c r="B46" s="17"/>
      <c r="C46" s="25"/>
      <c r="D46" s="25"/>
      <c r="E46" s="25"/>
      <c r="F46" s="25"/>
      <c r="G46" s="25"/>
      <c r="H46" s="25"/>
      <c r="I46" s="25"/>
      <c r="J46" s="25"/>
      <c r="K46" s="26"/>
      <c r="L46" s="22"/>
      <c r="M46" s="22"/>
      <c r="N46" s="22"/>
      <c r="O46" s="2"/>
      <c r="P46" s="2"/>
      <c r="Q46" s="2"/>
      <c r="R46" s="2"/>
      <c r="S46" s="2"/>
      <c r="T46" s="17"/>
      <c r="U46" s="4"/>
    </row>
    <row r="47" spans="1:21" ht="17.55" customHeight="1" x14ac:dyDescent="0.25">
      <c r="A47" s="17"/>
      <c r="B47" s="17"/>
      <c r="C47" s="37" t="s">
        <v>36</v>
      </c>
      <c r="D47" s="37"/>
      <c r="E47" s="38"/>
      <c r="F47" s="38"/>
      <c r="G47" s="38"/>
      <c r="H47" s="38"/>
      <c r="I47" s="38"/>
      <c r="J47" s="38"/>
      <c r="K47" s="38"/>
      <c r="L47" s="22"/>
      <c r="M47" s="22"/>
      <c r="N47" s="22"/>
      <c r="O47" s="22"/>
      <c r="P47" s="22"/>
      <c r="Q47" s="22"/>
      <c r="R47" s="22"/>
      <c r="S47" s="40" t="s">
        <v>17</v>
      </c>
      <c r="T47" s="17"/>
      <c r="U47" s="4"/>
    </row>
    <row r="48" spans="1:21" ht="6.6" customHeight="1" x14ac:dyDescent="0.25">
      <c r="A48" s="17"/>
      <c r="B48" s="17"/>
      <c r="C48" s="29"/>
      <c r="D48" s="29"/>
      <c r="E48" s="27"/>
      <c r="F48" s="27"/>
      <c r="G48" s="27"/>
      <c r="H48" s="27"/>
      <c r="I48" s="27"/>
      <c r="J48" s="27"/>
      <c r="K48" s="27"/>
      <c r="L48" s="27"/>
      <c r="M48" s="27"/>
      <c r="N48" s="27"/>
      <c r="O48" s="27"/>
      <c r="P48" s="27"/>
      <c r="Q48" s="27"/>
      <c r="R48" s="27"/>
      <c r="S48" s="40"/>
      <c r="T48" s="17"/>
      <c r="U48" s="4"/>
    </row>
    <row r="49" spans="1:21" ht="17.55" customHeight="1" x14ac:dyDescent="0.25">
      <c r="A49" s="17"/>
      <c r="B49" s="17"/>
      <c r="C49" s="37" t="s">
        <v>0</v>
      </c>
      <c r="D49" s="37"/>
      <c r="E49" s="38"/>
      <c r="F49" s="38"/>
      <c r="G49" s="38"/>
      <c r="H49" s="38"/>
      <c r="I49" s="38"/>
      <c r="J49" s="38"/>
      <c r="K49" s="38"/>
      <c r="L49" s="22"/>
      <c r="M49" s="22"/>
      <c r="N49" s="22"/>
      <c r="O49" s="39">
        <f>P39*(1+S41/100)</f>
        <v>42779</v>
      </c>
      <c r="P49" s="39"/>
      <c r="Q49" s="39"/>
      <c r="R49" s="39"/>
      <c r="S49" s="39"/>
      <c r="T49" s="17"/>
      <c r="U49" s="4"/>
    </row>
    <row r="50" spans="1:21" ht="6.6" customHeight="1" x14ac:dyDescent="0.25">
      <c r="A50" s="17"/>
      <c r="B50" s="17"/>
      <c r="C50" s="29"/>
      <c r="D50" s="29"/>
      <c r="E50" s="27"/>
      <c r="F50" s="27"/>
      <c r="G50" s="27"/>
      <c r="H50" s="27"/>
      <c r="I50" s="27"/>
      <c r="J50" s="27"/>
      <c r="K50" s="27"/>
      <c r="L50" s="27"/>
      <c r="M50" s="27"/>
      <c r="N50" s="27"/>
      <c r="O50" s="39"/>
      <c r="P50" s="39"/>
      <c r="Q50" s="39"/>
      <c r="R50" s="39"/>
      <c r="S50" s="39"/>
      <c r="T50" s="17"/>
      <c r="U50" s="4"/>
    </row>
    <row r="51" spans="1:21" ht="17.55" customHeight="1" x14ac:dyDescent="0.25">
      <c r="A51" s="17"/>
      <c r="B51" s="17"/>
      <c r="C51" s="37" t="s">
        <v>37</v>
      </c>
      <c r="D51" s="37"/>
      <c r="E51" s="38"/>
      <c r="F51" s="38"/>
      <c r="G51" s="38"/>
      <c r="H51" s="38"/>
      <c r="I51" s="38"/>
      <c r="J51" s="38"/>
      <c r="K51" s="38"/>
      <c r="L51" s="22"/>
      <c r="M51" s="22"/>
      <c r="N51" s="22"/>
      <c r="O51" s="39"/>
      <c r="P51" s="39"/>
      <c r="Q51" s="39"/>
      <c r="R51" s="39"/>
      <c r="S51" s="39"/>
      <c r="T51" s="17"/>
      <c r="U51" s="4"/>
    </row>
    <row r="52" spans="1:21" ht="22.2" customHeight="1" x14ac:dyDescent="0.25">
      <c r="A52" s="17"/>
      <c r="B52" s="17"/>
      <c r="C52" s="27"/>
      <c r="D52" s="27"/>
      <c r="E52" s="27"/>
      <c r="F52" s="27"/>
      <c r="G52" s="27"/>
      <c r="H52" s="27"/>
      <c r="I52" s="27"/>
      <c r="J52" s="27"/>
      <c r="K52" s="27"/>
      <c r="L52" s="27"/>
      <c r="M52" s="27"/>
      <c r="N52" s="27"/>
      <c r="O52" s="27"/>
      <c r="P52" s="27"/>
      <c r="Q52" s="27"/>
      <c r="R52" s="27"/>
      <c r="S52" s="27"/>
      <c r="T52" s="17"/>
      <c r="U52" s="4"/>
    </row>
  </sheetData>
  <mergeCells count="110">
    <mergeCell ref="A1:U1"/>
    <mergeCell ref="C3:K5"/>
    <mergeCell ref="N4:P4"/>
    <mergeCell ref="Q4:S4"/>
    <mergeCell ref="N5:P5"/>
    <mergeCell ref="Q5:S5"/>
    <mergeCell ref="E9:I9"/>
    <mergeCell ref="E10:I10"/>
    <mergeCell ref="E11:I11"/>
    <mergeCell ref="O19:P19"/>
    <mergeCell ref="R19:S19"/>
    <mergeCell ref="M12:S12"/>
    <mergeCell ref="M13:S13"/>
    <mergeCell ref="A14:U14"/>
    <mergeCell ref="K17:M17"/>
    <mergeCell ref="O17:P17"/>
    <mergeCell ref="R17:S17"/>
    <mergeCell ref="A8:U8"/>
    <mergeCell ref="M9:S9"/>
    <mergeCell ref="M10:S10"/>
    <mergeCell ref="M11:S11"/>
    <mergeCell ref="E12:I12"/>
    <mergeCell ref="E13:I13"/>
    <mergeCell ref="N2:S3"/>
    <mergeCell ref="C42:S42"/>
    <mergeCell ref="C37:S37"/>
    <mergeCell ref="P38:S38"/>
    <mergeCell ref="P39:S39"/>
    <mergeCell ref="Q41:R41"/>
    <mergeCell ref="K27:M27"/>
    <mergeCell ref="O27:P27"/>
    <mergeCell ref="R27:S27"/>
    <mergeCell ref="D28:J28"/>
    <mergeCell ref="K28:M28"/>
    <mergeCell ref="O28:P28"/>
    <mergeCell ref="R28:S28"/>
    <mergeCell ref="D25:J25"/>
    <mergeCell ref="K25:M25"/>
    <mergeCell ref="O25:P25"/>
    <mergeCell ref="R25:S25"/>
    <mergeCell ref="D22:J22"/>
    <mergeCell ref="K22:M22"/>
    <mergeCell ref="O22:P22"/>
    <mergeCell ref="R22:S22"/>
    <mergeCell ref="D23:J23"/>
    <mergeCell ref="K23:M23"/>
    <mergeCell ref="O23:P23"/>
    <mergeCell ref="Q24:S24"/>
    <mergeCell ref="C24:P24"/>
    <mergeCell ref="D29:J29"/>
    <mergeCell ref="K29:M29"/>
    <mergeCell ref="O29:P29"/>
    <mergeCell ref="R29:S29"/>
    <mergeCell ref="J9:L9"/>
    <mergeCell ref="C7:M7"/>
    <mergeCell ref="N7:S7"/>
    <mergeCell ref="R23:S23"/>
    <mergeCell ref="D20:J20"/>
    <mergeCell ref="K20:M20"/>
    <mergeCell ref="O20:P20"/>
    <mergeCell ref="R20:S20"/>
    <mergeCell ref="D21:J21"/>
    <mergeCell ref="K21:M21"/>
    <mergeCell ref="O21:P21"/>
    <mergeCell ref="R21:S21"/>
    <mergeCell ref="D18:J18"/>
    <mergeCell ref="K18:M18"/>
    <mergeCell ref="O18:P18"/>
    <mergeCell ref="R18:S18"/>
    <mergeCell ref="D19:J19"/>
    <mergeCell ref="K19:M19"/>
    <mergeCell ref="K32:M32"/>
    <mergeCell ref="O32:P32"/>
    <mergeCell ref="R32:S32"/>
    <mergeCell ref="D33:J33"/>
    <mergeCell ref="K33:M33"/>
    <mergeCell ref="O33:P33"/>
    <mergeCell ref="R33:S33"/>
    <mergeCell ref="D30:J30"/>
    <mergeCell ref="K30:M30"/>
    <mergeCell ref="O30:P30"/>
    <mergeCell ref="R30:S30"/>
    <mergeCell ref="D31:J31"/>
    <mergeCell ref="K31:M31"/>
    <mergeCell ref="O31:P31"/>
    <mergeCell ref="R31:S31"/>
    <mergeCell ref="C49:D49"/>
    <mergeCell ref="E49:K49"/>
    <mergeCell ref="C51:D51"/>
    <mergeCell ref="E51:K51"/>
    <mergeCell ref="O49:S51"/>
    <mergeCell ref="S47:S48"/>
    <mergeCell ref="C36:P36"/>
    <mergeCell ref="Q36:S36"/>
    <mergeCell ref="C16:F16"/>
    <mergeCell ref="C26:F26"/>
    <mergeCell ref="C47:D47"/>
    <mergeCell ref="E47:K47"/>
    <mergeCell ref="L38:O41"/>
    <mergeCell ref="C38:K41"/>
    <mergeCell ref="C44:K45"/>
    <mergeCell ref="D34:J34"/>
    <mergeCell ref="K34:M34"/>
    <mergeCell ref="O34:P34"/>
    <mergeCell ref="R34:S34"/>
    <mergeCell ref="D35:J35"/>
    <mergeCell ref="K35:M35"/>
    <mergeCell ref="O35:P35"/>
    <mergeCell ref="R35:S35"/>
    <mergeCell ref="D32:J32"/>
  </mergeCells>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589C-671F-4423-808B-A81A9576C233}">
  <dimension ref="B6"/>
  <sheetViews>
    <sheetView workbookViewId="0">
      <selection activeCell="B6" sqref="B6"/>
    </sheetView>
  </sheetViews>
  <sheetFormatPr defaultRowHeight="14.4" x14ac:dyDescent="0.3"/>
  <cols>
    <col min="2" max="2" width="31.88671875" customWidth="1"/>
  </cols>
  <sheetData>
    <row r="6" spans="2:2" x14ac:dyDescent="0.3">
      <c r="B6" s="80" t="s">
        <v>47</v>
      </c>
    </row>
  </sheetData>
  <hyperlinks>
    <hyperlink ref="B6" r:id="rId1" xr:uid="{0E34577A-C183-459C-A3E6-2DD22CA9DF3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Construction PO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2021-09-12T18:32:31Z</cp:lastPrinted>
  <dcterms:created xsi:type="dcterms:W3CDTF">2021-09-12T13:30:41Z</dcterms:created>
  <dcterms:modified xsi:type="dcterms:W3CDTF">2021-09-12T19:29:48Z</dcterms:modified>
</cp:coreProperties>
</file>